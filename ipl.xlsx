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554535583\Desktop\"/>
    </mc:Choice>
  </mc:AlternateContent>
  <bookViews>
    <workbookView xWindow="0" yWindow="0" windowWidth="23040" windowHeight="9432"/>
  </bookViews>
  <sheets>
    <sheet name="Sheet1" sheetId="1" r:id="rId1"/>
  </sheets>
  <definedNames>
    <definedName name="_xlnm._FilterDatabase" localSheetId="0" hidden="1">Sheet1!$A$1:$J$43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  <c r="J43" i="1"/>
  <c r="I42" i="1" l="1"/>
  <c r="J42" i="1"/>
  <c r="I41" i="1" l="1"/>
  <c r="J41" i="1"/>
  <c r="I40" i="1"/>
  <c r="J40" i="1"/>
  <c r="I39" i="1"/>
  <c r="J39" i="1"/>
  <c r="I38" i="1"/>
  <c r="J38" i="1"/>
  <c r="I37" i="1"/>
  <c r="J37" i="1"/>
  <c r="I36" i="1"/>
  <c r="J36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J2" i="1"/>
  <c r="I2" i="1"/>
  <c r="H61" i="1" l="1"/>
  <c r="I61" i="1" s="1"/>
</calcChain>
</file>

<file path=xl/sharedStrings.xml><?xml version="1.0" encoding="utf-8"?>
<sst xmlns="http://schemas.openxmlformats.org/spreadsheetml/2006/main" count="249" uniqueCount="108">
  <si>
    <t>Match</t>
  </si>
  <si>
    <t>CSK vs RCB</t>
  </si>
  <si>
    <t>KKR vs SRH</t>
  </si>
  <si>
    <t>MI vs DC</t>
  </si>
  <si>
    <t>RR vs KXIP</t>
  </si>
  <si>
    <t>DC vs CSK</t>
  </si>
  <si>
    <t>KKR vs KXIP</t>
  </si>
  <si>
    <t>RCB vs MI</t>
  </si>
  <si>
    <t>Actual Winner</t>
  </si>
  <si>
    <t>Actual Man of the match</t>
  </si>
  <si>
    <t>My Team Winner</t>
  </si>
  <si>
    <t>My Man of the match</t>
  </si>
  <si>
    <t>Team winner number</t>
  </si>
  <si>
    <t>Man of the match number</t>
  </si>
  <si>
    <t>CSK</t>
  </si>
  <si>
    <t>KKR</t>
  </si>
  <si>
    <t>MI</t>
  </si>
  <si>
    <t>DC</t>
  </si>
  <si>
    <t>KXIP</t>
  </si>
  <si>
    <t>Harbhajan</t>
  </si>
  <si>
    <t>Russell</t>
  </si>
  <si>
    <t>Pant</t>
  </si>
  <si>
    <t>Gayle</t>
  </si>
  <si>
    <t>Watson</t>
  </si>
  <si>
    <t>Bumrah</t>
  </si>
  <si>
    <t>Amount won</t>
  </si>
  <si>
    <t>SRH</t>
  </si>
  <si>
    <t>ABD</t>
  </si>
  <si>
    <t>Shami</t>
  </si>
  <si>
    <t>Mujeeb</t>
  </si>
  <si>
    <t>Shaw</t>
  </si>
  <si>
    <t>Bhuvi</t>
  </si>
  <si>
    <t>SRH vs RR</t>
  </si>
  <si>
    <t>-</t>
  </si>
  <si>
    <t>Buttler</t>
  </si>
  <si>
    <t>Rashid</t>
  </si>
  <si>
    <t>KXIP vs MI</t>
  </si>
  <si>
    <t>DC vs KKR</t>
  </si>
  <si>
    <t>SRH vs RCB</t>
  </si>
  <si>
    <t>CSK vs RR</t>
  </si>
  <si>
    <t>Bairstow</t>
  </si>
  <si>
    <t>MSD</t>
  </si>
  <si>
    <t>Rayudu</t>
  </si>
  <si>
    <t>Williamson</t>
  </si>
  <si>
    <t>Suryakumar Yadav</t>
  </si>
  <si>
    <t>Lamichanne</t>
  </si>
  <si>
    <t>KXIP vs DC</t>
  </si>
  <si>
    <t>Sam Curran</t>
  </si>
  <si>
    <t>RR vs RCB</t>
  </si>
  <si>
    <t>RR</t>
  </si>
  <si>
    <t>Chahal</t>
  </si>
  <si>
    <t>Mayank Agarwal</t>
  </si>
  <si>
    <t>Shreyas Gopal</t>
  </si>
  <si>
    <t>MI vs CSK</t>
  </si>
  <si>
    <t>Hardik Pandya</t>
  </si>
  <si>
    <t>DC vs SRH</t>
  </si>
  <si>
    <t>Warner</t>
  </si>
  <si>
    <t>RCB vs KKR</t>
  </si>
  <si>
    <t>CSK vs KXIP</t>
  </si>
  <si>
    <t>SRH vs MI</t>
  </si>
  <si>
    <t>RCB vs DC</t>
  </si>
  <si>
    <t>RR vs KKR</t>
  </si>
  <si>
    <t>RCB</t>
  </si>
  <si>
    <t>Joseph</t>
  </si>
  <si>
    <t>Rabada</t>
  </si>
  <si>
    <t>Rana</t>
  </si>
  <si>
    <t>Tahir</t>
  </si>
  <si>
    <t>Gurney</t>
  </si>
  <si>
    <t>KXIP vs SRH</t>
  </si>
  <si>
    <t>KL Rahul</t>
  </si>
  <si>
    <t>CSK vs KKR</t>
  </si>
  <si>
    <t>Deepak Chahar</t>
  </si>
  <si>
    <t>MI vs KXIP</t>
  </si>
  <si>
    <t>QDK</t>
  </si>
  <si>
    <t>Contains filter</t>
  </si>
  <si>
    <t>Pollard</t>
  </si>
  <si>
    <t>RR vs CSK</t>
  </si>
  <si>
    <t>KKR vs DC</t>
  </si>
  <si>
    <t>MI vs RR</t>
  </si>
  <si>
    <t>KXIP vs RCB</t>
  </si>
  <si>
    <t>KKR vs CSK</t>
  </si>
  <si>
    <t>SRH vs DC</t>
  </si>
  <si>
    <t>Shikar Dhawan</t>
  </si>
  <si>
    <t>Keemo Paul</t>
  </si>
  <si>
    <t>Kohli</t>
  </si>
  <si>
    <t>MI vs RCB</t>
  </si>
  <si>
    <t>Malinga</t>
  </si>
  <si>
    <t>KXIP vs RR</t>
  </si>
  <si>
    <t>Ashwin</t>
  </si>
  <si>
    <t>SRH vs CSK</t>
  </si>
  <si>
    <t>DC vs MI</t>
  </si>
  <si>
    <t>Munro</t>
  </si>
  <si>
    <t>KKR vs RCB</t>
  </si>
  <si>
    <t>RR vs MI</t>
  </si>
  <si>
    <t>DC vs KXIP</t>
  </si>
  <si>
    <t>SRH vs KKR</t>
  </si>
  <si>
    <t>RCB vs CSK</t>
  </si>
  <si>
    <t>Narine</t>
  </si>
  <si>
    <t>Virat</t>
  </si>
  <si>
    <t>Krunal Pandya</t>
  </si>
  <si>
    <t>Smith</t>
  </si>
  <si>
    <t>Shreyas Iyer</t>
  </si>
  <si>
    <t>Parthiv Patel</t>
  </si>
  <si>
    <t>Khaleel Ahmed</t>
  </si>
  <si>
    <t>RR vs DC</t>
  </si>
  <si>
    <t>CSK vs SRH</t>
  </si>
  <si>
    <t>Chahar</t>
  </si>
  <si>
    <t>RCB vs KXIP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</si>
</sst>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topLeftCell="A31" workbookViewId="0">
      <selection activeCell="A43" sqref="A43"/>
    </sheetView>
  </sheetViews>
  <sheetFormatPr defaultRowHeight="13.2" x14ac:dyDescent="0.25"/>
  <cols>
    <col min="1" max="2" width="14.44140625" customWidth="1"/>
    <col min="3" max="3" width="30.33203125" customWidth="1"/>
    <col min="4" max="4" width="17" customWidth="1"/>
    <col min="5" max="5" width="24.6640625" customWidth="1"/>
    <col min="6" max="6" width="19.5546875" bestFit="1" customWidth="1"/>
    <col min="7" max="7" width="23.5546875" bestFit="1" customWidth="1"/>
    <col min="8" max="8" width="12" bestFit="1" customWidth="1"/>
    <col min="9" max="9" width="12.77734375" customWidth="1"/>
  </cols>
  <sheetData>
    <row r="1" spans="1:10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25</v>
      </c>
      <c r="I1" s="1" t="s">
        <v>74</v>
      </c>
    </row>
    <row r="2" spans="1:10" x14ac:dyDescent="0.25">
      <c r="A2" s="2" t="s">
        <v>1</v>
      </c>
      <c r="B2" s="2" t="s">
        <v>14</v>
      </c>
      <c r="C2" s="2" t="s">
        <v>19</v>
      </c>
      <c r="D2" s="2" t="s">
        <v>14</v>
      </c>
      <c r="E2" s="2" t="s">
        <v>23</v>
      </c>
      <c r="F2" s="2">
        <v>8</v>
      </c>
      <c r="G2" s="2">
        <v>0</v>
      </c>
      <c r="H2" s="3">
        <v>41.25</v>
      </c>
      <c r="I2" t="b">
        <f>ISNUMBER(SEARCH("MI",A2))</f>
        <v>0</v>
      </c>
      <c r="J2" t="b">
        <f>ISNUMBER(SEARCH("DC",A2))</f>
        <v>0</v>
      </c>
    </row>
    <row r="3" spans="1:10" x14ac:dyDescent="0.25">
      <c r="A3" s="2" t="s">
        <v>2</v>
      </c>
      <c r="B3" s="2" t="s">
        <v>15</v>
      </c>
      <c r="C3" s="2" t="s">
        <v>20</v>
      </c>
      <c r="D3" s="2" t="s">
        <v>26</v>
      </c>
      <c r="E3" s="2" t="s">
        <v>31</v>
      </c>
      <c r="F3" s="2" t="s">
        <v>33</v>
      </c>
      <c r="G3" s="2" t="s">
        <v>33</v>
      </c>
      <c r="H3" s="3">
        <v>0</v>
      </c>
      <c r="I3" t="b">
        <f t="shared" ref="I3:I43" si="0">ISNUMBER(SEARCH("MI",A3))</f>
        <v>0</v>
      </c>
      <c r="J3" t="b">
        <f t="shared" ref="J3:J43" si="1">ISNUMBER(SEARCH("DC",A3))</f>
        <v>0</v>
      </c>
    </row>
    <row r="4" spans="1:10" x14ac:dyDescent="0.25">
      <c r="A4" s="2" t="s">
        <v>3</v>
      </c>
      <c r="B4" s="2" t="s">
        <v>17</v>
      </c>
      <c r="C4" s="2" t="s">
        <v>21</v>
      </c>
      <c r="D4" s="2" t="s">
        <v>17</v>
      </c>
      <c r="E4" s="2" t="s">
        <v>30</v>
      </c>
      <c r="F4" s="2">
        <v>1</v>
      </c>
      <c r="G4" s="2">
        <v>1</v>
      </c>
      <c r="H4" s="3">
        <v>165</v>
      </c>
      <c r="I4" t="b">
        <f t="shared" si="0"/>
        <v>1</v>
      </c>
      <c r="J4" t="b">
        <f t="shared" si="1"/>
        <v>1</v>
      </c>
    </row>
    <row r="5" spans="1:10" x14ac:dyDescent="0.25">
      <c r="A5" s="2" t="s">
        <v>4</v>
      </c>
      <c r="B5" s="2" t="s">
        <v>18</v>
      </c>
      <c r="C5" s="2" t="s">
        <v>22</v>
      </c>
      <c r="D5" s="2" t="s">
        <v>18</v>
      </c>
      <c r="E5" s="2" t="s">
        <v>29</v>
      </c>
      <c r="F5" s="2">
        <v>2</v>
      </c>
      <c r="G5" s="2">
        <v>1</v>
      </c>
      <c r="H5" s="3">
        <v>82.5</v>
      </c>
      <c r="I5" t="b">
        <f t="shared" si="0"/>
        <v>0</v>
      </c>
      <c r="J5" t="b">
        <f t="shared" si="1"/>
        <v>0</v>
      </c>
    </row>
    <row r="6" spans="1:10" x14ac:dyDescent="0.25">
      <c r="A6" s="2" t="s">
        <v>5</v>
      </c>
      <c r="B6" s="2" t="s">
        <v>14</v>
      </c>
      <c r="C6" s="2" t="s">
        <v>23</v>
      </c>
      <c r="D6" s="2" t="s">
        <v>17</v>
      </c>
      <c r="E6" s="2" t="s">
        <v>21</v>
      </c>
      <c r="F6" s="2" t="s">
        <v>33</v>
      </c>
      <c r="G6" s="2" t="s">
        <v>33</v>
      </c>
      <c r="H6" s="3">
        <v>0</v>
      </c>
      <c r="I6" t="b">
        <f t="shared" si="0"/>
        <v>0</v>
      </c>
      <c r="J6" t="b">
        <f t="shared" si="1"/>
        <v>1</v>
      </c>
    </row>
    <row r="7" spans="1:10" x14ac:dyDescent="0.25">
      <c r="A7" s="2" t="s">
        <v>6</v>
      </c>
      <c r="B7" s="2" t="s">
        <v>15</v>
      </c>
      <c r="C7" s="2" t="s">
        <v>20</v>
      </c>
      <c r="D7" s="2" t="s">
        <v>18</v>
      </c>
      <c r="E7" s="2" t="s">
        <v>28</v>
      </c>
      <c r="F7" s="2" t="s">
        <v>33</v>
      </c>
      <c r="G7" s="2" t="s">
        <v>33</v>
      </c>
      <c r="H7" s="3">
        <v>0</v>
      </c>
      <c r="I7" t="b">
        <f t="shared" si="0"/>
        <v>0</v>
      </c>
      <c r="J7" t="b">
        <f t="shared" si="1"/>
        <v>0</v>
      </c>
    </row>
    <row r="8" spans="1:10" x14ac:dyDescent="0.25">
      <c r="A8" s="2" t="s">
        <v>7</v>
      </c>
      <c r="B8" s="2" t="s">
        <v>16</v>
      </c>
      <c r="C8" s="2" t="s">
        <v>24</v>
      </c>
      <c r="D8" s="2" t="s">
        <v>16</v>
      </c>
      <c r="E8" s="2" t="s">
        <v>27</v>
      </c>
      <c r="F8" s="2">
        <v>3</v>
      </c>
      <c r="G8" s="2">
        <v>0</v>
      </c>
      <c r="H8" s="3">
        <v>110</v>
      </c>
      <c r="I8" t="b">
        <f t="shared" si="0"/>
        <v>1</v>
      </c>
      <c r="J8" t="b">
        <f t="shared" si="1"/>
        <v>0</v>
      </c>
    </row>
    <row r="9" spans="1:10" x14ac:dyDescent="0.25">
      <c r="A9" s="2" t="s">
        <v>32</v>
      </c>
      <c r="B9" s="2" t="s">
        <v>26</v>
      </c>
      <c r="C9" s="2" t="s">
        <v>35</v>
      </c>
      <c r="D9" s="2" t="s">
        <v>26</v>
      </c>
      <c r="E9" s="2" t="s">
        <v>34</v>
      </c>
      <c r="F9" s="2">
        <v>9</v>
      </c>
      <c r="G9" s="2">
        <v>2</v>
      </c>
      <c r="H9" s="3">
        <v>18.329999999999998</v>
      </c>
      <c r="I9" t="b">
        <f t="shared" si="0"/>
        <v>0</v>
      </c>
      <c r="J9" t="b">
        <f t="shared" si="1"/>
        <v>0</v>
      </c>
    </row>
    <row r="10" spans="1:10" x14ac:dyDescent="0.25">
      <c r="A10" s="2" t="s">
        <v>36</v>
      </c>
      <c r="B10" s="2" t="s">
        <v>18</v>
      </c>
      <c r="C10" s="2" t="s">
        <v>51</v>
      </c>
      <c r="D10" s="2" t="s">
        <v>18</v>
      </c>
      <c r="E10" s="2" t="s">
        <v>44</v>
      </c>
      <c r="F10" s="2">
        <v>3</v>
      </c>
      <c r="G10" s="2">
        <v>0</v>
      </c>
      <c r="H10" s="3">
        <v>110</v>
      </c>
      <c r="I10" t="b">
        <f t="shared" si="0"/>
        <v>1</v>
      </c>
      <c r="J10" t="b">
        <f t="shared" si="1"/>
        <v>0</v>
      </c>
    </row>
    <row r="11" spans="1:10" x14ac:dyDescent="0.25">
      <c r="A11" s="2" t="s">
        <v>37</v>
      </c>
      <c r="B11" s="2" t="s">
        <v>17</v>
      </c>
      <c r="C11" s="2" t="s">
        <v>30</v>
      </c>
      <c r="D11" s="2" t="s">
        <v>15</v>
      </c>
      <c r="E11" s="2" t="s">
        <v>45</v>
      </c>
      <c r="F11" s="2" t="s">
        <v>33</v>
      </c>
      <c r="G11" s="2" t="s">
        <v>33</v>
      </c>
      <c r="H11" s="3">
        <v>0</v>
      </c>
      <c r="I11" t="b">
        <f t="shared" si="0"/>
        <v>0</v>
      </c>
      <c r="J11" t="b">
        <f t="shared" si="1"/>
        <v>1</v>
      </c>
    </row>
    <row r="12" spans="1:10" x14ac:dyDescent="0.25">
      <c r="A12" s="2" t="s">
        <v>38</v>
      </c>
      <c r="B12" s="2" t="s">
        <v>26</v>
      </c>
      <c r="C12" s="2" t="s">
        <v>40</v>
      </c>
      <c r="D12" s="2" t="s">
        <v>26</v>
      </c>
      <c r="E12" s="2" t="s">
        <v>43</v>
      </c>
      <c r="F12" s="2">
        <v>5</v>
      </c>
      <c r="G12" s="2">
        <v>0</v>
      </c>
      <c r="H12" s="3">
        <v>66</v>
      </c>
      <c r="I12" t="b">
        <f t="shared" si="0"/>
        <v>0</v>
      </c>
      <c r="J12" t="b">
        <f t="shared" si="1"/>
        <v>0</v>
      </c>
    </row>
    <row r="13" spans="1:10" x14ac:dyDescent="0.25">
      <c r="A13" s="2" t="s">
        <v>39</v>
      </c>
      <c r="B13" s="2" t="s">
        <v>14</v>
      </c>
      <c r="C13" s="2" t="s">
        <v>41</v>
      </c>
      <c r="D13" s="2" t="s">
        <v>14</v>
      </c>
      <c r="E13" s="2" t="s">
        <v>42</v>
      </c>
      <c r="F13" s="2">
        <v>6</v>
      </c>
      <c r="G13" s="2">
        <v>0</v>
      </c>
      <c r="H13" s="3">
        <v>55</v>
      </c>
      <c r="I13" t="b">
        <f t="shared" si="0"/>
        <v>0</v>
      </c>
      <c r="J13" t="b">
        <f t="shared" si="1"/>
        <v>0</v>
      </c>
    </row>
    <row r="14" spans="1:10" x14ac:dyDescent="0.25">
      <c r="A14" s="2" t="s">
        <v>46</v>
      </c>
      <c r="B14" s="2" t="s">
        <v>18</v>
      </c>
      <c r="C14" s="2" t="s">
        <v>47</v>
      </c>
      <c r="D14" s="2" t="s">
        <v>17</v>
      </c>
      <c r="E14" s="2" t="s">
        <v>45</v>
      </c>
      <c r="F14" s="2" t="s">
        <v>33</v>
      </c>
      <c r="G14" s="2" t="s">
        <v>33</v>
      </c>
      <c r="H14" s="3">
        <v>0</v>
      </c>
      <c r="I14" t="b">
        <f t="shared" si="0"/>
        <v>0</v>
      </c>
      <c r="J14" t="b">
        <f t="shared" si="1"/>
        <v>1</v>
      </c>
    </row>
    <row r="15" spans="1:10" x14ac:dyDescent="0.25">
      <c r="A15" s="2" t="s">
        <v>48</v>
      </c>
      <c r="B15" s="2" t="s">
        <v>49</v>
      </c>
      <c r="C15" s="2" t="s">
        <v>52</v>
      </c>
      <c r="D15" s="2" t="s">
        <v>49</v>
      </c>
      <c r="E15" s="2" t="s">
        <v>50</v>
      </c>
      <c r="F15" s="2">
        <v>6</v>
      </c>
      <c r="G15" s="2">
        <v>0</v>
      </c>
      <c r="H15" s="3">
        <v>55</v>
      </c>
      <c r="I15" t="b">
        <f t="shared" si="0"/>
        <v>0</v>
      </c>
      <c r="J15" t="b">
        <f t="shared" si="1"/>
        <v>0</v>
      </c>
    </row>
    <row r="16" spans="1:10" x14ac:dyDescent="0.25">
      <c r="A16" s="2" t="s">
        <v>53</v>
      </c>
      <c r="B16" s="2" t="s">
        <v>16</v>
      </c>
      <c r="C16" s="2" t="s">
        <v>54</v>
      </c>
      <c r="D16" s="2" t="s">
        <v>16</v>
      </c>
      <c r="E16" s="2" t="s">
        <v>23</v>
      </c>
      <c r="F16" s="2">
        <v>3</v>
      </c>
      <c r="G16" s="2">
        <v>0</v>
      </c>
      <c r="H16" s="4">
        <v>110</v>
      </c>
      <c r="I16" t="b">
        <f t="shared" si="0"/>
        <v>1</v>
      </c>
      <c r="J16" t="b">
        <f t="shared" si="1"/>
        <v>0</v>
      </c>
    </row>
    <row r="17" spans="1:10" x14ac:dyDescent="0.25">
      <c r="A17" s="2" t="s">
        <v>55</v>
      </c>
      <c r="B17" s="2" t="s">
        <v>26</v>
      </c>
      <c r="C17" s="2" t="s">
        <v>40</v>
      </c>
      <c r="D17" s="2" t="s">
        <v>26</v>
      </c>
      <c r="E17" s="2" t="s">
        <v>56</v>
      </c>
      <c r="F17" s="2">
        <v>4</v>
      </c>
      <c r="G17" s="2">
        <v>0</v>
      </c>
      <c r="H17" s="3">
        <v>82.5</v>
      </c>
      <c r="I17" t="b">
        <f t="shared" si="0"/>
        <v>0</v>
      </c>
      <c r="J17" t="b">
        <f t="shared" si="1"/>
        <v>1</v>
      </c>
    </row>
    <row r="18" spans="1:10" x14ac:dyDescent="0.25">
      <c r="A18" s="2" t="s">
        <v>57</v>
      </c>
      <c r="B18" s="2" t="s">
        <v>15</v>
      </c>
      <c r="C18" s="2" t="s">
        <v>20</v>
      </c>
      <c r="D18" s="2" t="s">
        <v>15</v>
      </c>
      <c r="E18" s="2" t="s">
        <v>27</v>
      </c>
      <c r="F18" s="2">
        <v>6</v>
      </c>
      <c r="G18" s="2">
        <v>1</v>
      </c>
      <c r="H18" s="4">
        <v>27.5</v>
      </c>
      <c r="I18" t="b">
        <f t="shared" si="0"/>
        <v>0</v>
      </c>
      <c r="J18" t="b">
        <f t="shared" si="1"/>
        <v>0</v>
      </c>
    </row>
    <row r="19" spans="1:10" x14ac:dyDescent="0.25">
      <c r="A19" s="2" t="s">
        <v>58</v>
      </c>
      <c r="B19" s="2" t="s">
        <v>14</v>
      </c>
      <c r="C19" s="2" t="s">
        <v>19</v>
      </c>
      <c r="D19" s="2" t="s">
        <v>14</v>
      </c>
      <c r="E19" s="2" t="s">
        <v>66</v>
      </c>
      <c r="F19" s="2">
        <v>6</v>
      </c>
      <c r="G19" s="2">
        <v>0</v>
      </c>
      <c r="H19" s="4">
        <v>55</v>
      </c>
      <c r="I19" t="b">
        <f t="shared" si="0"/>
        <v>0</v>
      </c>
      <c r="J19" t="b">
        <f t="shared" si="1"/>
        <v>0</v>
      </c>
    </row>
    <row r="20" spans="1:10" x14ac:dyDescent="0.25">
      <c r="A20" s="2" t="s">
        <v>59</v>
      </c>
      <c r="B20" s="2" t="s">
        <v>16</v>
      </c>
      <c r="C20" s="2" t="s">
        <v>63</v>
      </c>
      <c r="D20" s="2" t="s">
        <v>26</v>
      </c>
      <c r="E20" s="2" t="s">
        <v>56</v>
      </c>
      <c r="F20" s="2" t="s">
        <v>33</v>
      </c>
      <c r="G20" s="2">
        <v>0</v>
      </c>
      <c r="H20" s="3">
        <v>0</v>
      </c>
      <c r="I20" t="b">
        <f t="shared" si="0"/>
        <v>1</v>
      </c>
      <c r="J20" t="b">
        <f t="shared" si="1"/>
        <v>0</v>
      </c>
    </row>
    <row r="21" spans="1:10" x14ac:dyDescent="0.25">
      <c r="A21" s="2" t="s">
        <v>60</v>
      </c>
      <c r="B21" s="2" t="s">
        <v>17</v>
      </c>
      <c r="C21" s="2" t="s">
        <v>64</v>
      </c>
      <c r="D21" s="2" t="s">
        <v>62</v>
      </c>
      <c r="E21" s="2" t="s">
        <v>27</v>
      </c>
      <c r="F21" s="2" t="s">
        <v>33</v>
      </c>
      <c r="G21" s="2">
        <v>0</v>
      </c>
      <c r="H21" s="3">
        <v>0</v>
      </c>
      <c r="I21" t="b">
        <f t="shared" si="0"/>
        <v>0</v>
      </c>
      <c r="J21" t="b">
        <f t="shared" si="1"/>
        <v>1</v>
      </c>
    </row>
    <row r="22" spans="1:10" x14ac:dyDescent="0.25">
      <c r="A22" s="2" t="s">
        <v>61</v>
      </c>
      <c r="B22" s="2" t="s">
        <v>15</v>
      </c>
      <c r="C22" s="2" t="s">
        <v>67</v>
      </c>
      <c r="D22" s="2" t="s">
        <v>49</v>
      </c>
      <c r="E22" s="2" t="s">
        <v>65</v>
      </c>
      <c r="F22" s="2" t="s">
        <v>33</v>
      </c>
      <c r="G22" s="2">
        <v>0</v>
      </c>
      <c r="H22" s="3">
        <v>0</v>
      </c>
      <c r="I22" t="b">
        <f t="shared" si="0"/>
        <v>0</v>
      </c>
      <c r="J22" t="b">
        <f t="shared" si="1"/>
        <v>0</v>
      </c>
    </row>
    <row r="23" spans="1:10" x14ac:dyDescent="0.25">
      <c r="A23" s="2" t="s">
        <v>68</v>
      </c>
      <c r="B23" s="2" t="s">
        <v>18</v>
      </c>
      <c r="C23" s="2" t="s">
        <v>69</v>
      </c>
      <c r="D23" s="2" t="s">
        <v>18</v>
      </c>
      <c r="E23" s="2" t="s">
        <v>40</v>
      </c>
      <c r="F23" s="2">
        <v>2</v>
      </c>
      <c r="G23" s="2">
        <v>1</v>
      </c>
      <c r="H23" s="3">
        <v>82.5</v>
      </c>
      <c r="I23" t="b">
        <f t="shared" si="0"/>
        <v>0</v>
      </c>
      <c r="J23" t="b">
        <f t="shared" si="1"/>
        <v>0</v>
      </c>
    </row>
    <row r="24" spans="1:10" x14ac:dyDescent="0.25">
      <c r="A24" s="2" t="s">
        <v>70</v>
      </c>
      <c r="B24" s="2" t="s">
        <v>14</v>
      </c>
      <c r="C24" s="2" t="s">
        <v>71</v>
      </c>
      <c r="D24" s="2" t="s">
        <v>14</v>
      </c>
      <c r="E24" s="2" t="s">
        <v>66</v>
      </c>
      <c r="F24" s="2">
        <v>7</v>
      </c>
      <c r="G24" s="2">
        <v>0</v>
      </c>
      <c r="H24" s="3">
        <v>47.14</v>
      </c>
      <c r="I24" t="b">
        <f t="shared" si="0"/>
        <v>0</v>
      </c>
      <c r="J24" t="b">
        <f t="shared" si="1"/>
        <v>0</v>
      </c>
    </row>
    <row r="25" spans="1:10" x14ac:dyDescent="0.25">
      <c r="A25" s="2" t="s">
        <v>72</v>
      </c>
      <c r="B25" s="2" t="s">
        <v>16</v>
      </c>
      <c r="C25" s="2" t="s">
        <v>75</v>
      </c>
      <c r="D25" s="2" t="s">
        <v>16</v>
      </c>
      <c r="E25" s="2" t="s">
        <v>73</v>
      </c>
      <c r="F25" s="2">
        <v>6</v>
      </c>
      <c r="G25" s="2">
        <v>0</v>
      </c>
      <c r="H25" s="4">
        <v>55</v>
      </c>
      <c r="I25" t="b">
        <f t="shared" si="0"/>
        <v>1</v>
      </c>
      <c r="J25" t="b">
        <f t="shared" si="1"/>
        <v>0</v>
      </c>
    </row>
    <row r="26" spans="1:10" x14ac:dyDescent="0.25">
      <c r="A26" s="2" t="s">
        <v>76</v>
      </c>
      <c r="B26" s="2" t="s">
        <v>14</v>
      </c>
      <c r="C26" s="2" t="s">
        <v>41</v>
      </c>
      <c r="D26" s="2" t="s">
        <v>14</v>
      </c>
      <c r="E26" s="2" t="s">
        <v>66</v>
      </c>
      <c r="F26" s="2">
        <v>7</v>
      </c>
      <c r="G26" s="2">
        <v>0</v>
      </c>
      <c r="H26" s="3">
        <v>47.14</v>
      </c>
      <c r="I26" t="b">
        <f t="shared" si="0"/>
        <v>0</v>
      </c>
      <c r="J26" t="b">
        <f t="shared" si="1"/>
        <v>0</v>
      </c>
    </row>
    <row r="27" spans="1:10" x14ac:dyDescent="0.25">
      <c r="A27" s="2" t="s">
        <v>77</v>
      </c>
      <c r="B27" s="2" t="s">
        <v>17</v>
      </c>
      <c r="C27" s="2" t="s">
        <v>82</v>
      </c>
      <c r="D27" s="2" t="s">
        <v>17</v>
      </c>
      <c r="E27" s="2" t="s">
        <v>20</v>
      </c>
      <c r="F27" s="2">
        <v>5</v>
      </c>
      <c r="G27" s="2">
        <v>1</v>
      </c>
      <c r="H27" s="3">
        <v>33</v>
      </c>
      <c r="I27" t="b">
        <f t="shared" si="0"/>
        <v>0</v>
      </c>
      <c r="J27" t="b">
        <f t="shared" si="1"/>
        <v>1</v>
      </c>
    </row>
    <row r="28" spans="1:10" x14ac:dyDescent="0.25">
      <c r="A28" s="2" t="s">
        <v>78</v>
      </c>
      <c r="B28" s="2" t="s">
        <v>49</v>
      </c>
      <c r="C28" s="2" t="s">
        <v>34</v>
      </c>
      <c r="D28" s="2" t="s">
        <v>16</v>
      </c>
      <c r="E28" s="2" t="s">
        <v>73</v>
      </c>
      <c r="F28" s="2" t="s">
        <v>33</v>
      </c>
      <c r="G28" s="2">
        <v>1</v>
      </c>
      <c r="H28" s="3">
        <v>0</v>
      </c>
      <c r="I28" t="b">
        <f t="shared" si="0"/>
        <v>1</v>
      </c>
      <c r="J28" t="b">
        <f t="shared" si="1"/>
        <v>0</v>
      </c>
    </row>
    <row r="29" spans="1:10" x14ac:dyDescent="0.25">
      <c r="A29" s="2" t="s">
        <v>79</v>
      </c>
      <c r="B29" s="2" t="s">
        <v>62</v>
      </c>
      <c r="C29" s="2" t="s">
        <v>27</v>
      </c>
      <c r="D29" s="2" t="s">
        <v>18</v>
      </c>
      <c r="E29" s="2" t="s">
        <v>84</v>
      </c>
      <c r="F29" s="2" t="s">
        <v>33</v>
      </c>
      <c r="G29" s="2">
        <v>2</v>
      </c>
      <c r="H29" s="3">
        <v>0</v>
      </c>
      <c r="I29" t="b">
        <f t="shared" si="0"/>
        <v>0</v>
      </c>
      <c r="J29" t="b">
        <f t="shared" si="1"/>
        <v>0</v>
      </c>
    </row>
    <row r="30" spans="1:10" x14ac:dyDescent="0.25">
      <c r="A30" s="2" t="s">
        <v>80</v>
      </c>
      <c r="B30" s="2" t="s">
        <v>14</v>
      </c>
      <c r="C30" s="2" t="s">
        <v>66</v>
      </c>
      <c r="D30" s="2" t="s">
        <v>15</v>
      </c>
      <c r="E30" s="2" t="s">
        <v>23</v>
      </c>
      <c r="F30" s="2" t="s">
        <v>33</v>
      </c>
      <c r="G30" s="2">
        <v>1</v>
      </c>
      <c r="H30" s="3">
        <v>0</v>
      </c>
      <c r="I30" t="b">
        <f t="shared" si="0"/>
        <v>0</v>
      </c>
      <c r="J30" t="b">
        <f t="shared" si="1"/>
        <v>0</v>
      </c>
    </row>
    <row r="31" spans="1:10" x14ac:dyDescent="0.25">
      <c r="A31" s="2" t="s">
        <v>81</v>
      </c>
      <c r="B31" s="2" t="s">
        <v>17</v>
      </c>
      <c r="C31" s="2" t="s">
        <v>83</v>
      </c>
      <c r="D31" s="2" t="s">
        <v>26</v>
      </c>
      <c r="E31" s="2" t="s">
        <v>21</v>
      </c>
      <c r="F31" s="2" t="s">
        <v>33</v>
      </c>
      <c r="G31" s="2" t="s">
        <v>33</v>
      </c>
      <c r="H31" s="3">
        <v>0</v>
      </c>
      <c r="I31" t="b">
        <f t="shared" si="0"/>
        <v>0</v>
      </c>
      <c r="J31" t="b">
        <f t="shared" si="1"/>
        <v>1</v>
      </c>
    </row>
    <row r="32" spans="1:10" x14ac:dyDescent="0.25">
      <c r="A32" s="2" t="s">
        <v>85</v>
      </c>
      <c r="B32" s="2" t="s">
        <v>16</v>
      </c>
      <c r="C32" s="2" t="s">
        <v>86</v>
      </c>
      <c r="D32" s="2" t="s">
        <v>16</v>
      </c>
      <c r="E32" s="2" t="s">
        <v>27</v>
      </c>
      <c r="F32" s="2">
        <v>3</v>
      </c>
      <c r="G32" s="2" t="s">
        <v>33</v>
      </c>
      <c r="H32" s="4">
        <v>90</v>
      </c>
      <c r="I32" t="b">
        <f t="shared" si="0"/>
        <v>1</v>
      </c>
      <c r="J32" t="b">
        <f t="shared" si="1"/>
        <v>0</v>
      </c>
    </row>
    <row r="33" spans="1:10" x14ac:dyDescent="0.25">
      <c r="A33" s="2" t="s">
        <v>87</v>
      </c>
      <c r="B33" s="2" t="s">
        <v>18</v>
      </c>
      <c r="C33" s="2" t="s">
        <v>88</v>
      </c>
      <c r="D33" s="2" t="s">
        <v>49</v>
      </c>
      <c r="E33" s="2" t="s">
        <v>34</v>
      </c>
      <c r="F33" s="2" t="s">
        <v>33</v>
      </c>
      <c r="G33" s="2" t="s">
        <v>33</v>
      </c>
      <c r="H33" s="3">
        <v>0</v>
      </c>
      <c r="I33" t="b">
        <f t="shared" si="0"/>
        <v>0</v>
      </c>
      <c r="J33" t="b">
        <f t="shared" si="1"/>
        <v>0</v>
      </c>
    </row>
    <row r="34" spans="1:10" x14ac:dyDescent="0.25">
      <c r="A34" s="2" t="s">
        <v>89</v>
      </c>
      <c r="B34" s="2" t="s">
        <v>26</v>
      </c>
      <c r="C34" s="2" t="s">
        <v>56</v>
      </c>
      <c r="D34" s="2" t="s">
        <v>26</v>
      </c>
      <c r="E34" s="2" t="s">
        <v>35</v>
      </c>
      <c r="F34" s="2">
        <v>3</v>
      </c>
      <c r="G34" s="2">
        <v>1</v>
      </c>
      <c r="H34" s="3">
        <v>45</v>
      </c>
      <c r="I34" t="b">
        <f t="shared" si="0"/>
        <v>0</v>
      </c>
      <c r="J34" t="b">
        <f t="shared" si="1"/>
        <v>0</v>
      </c>
    </row>
    <row r="35" spans="1:10" x14ac:dyDescent="0.25">
      <c r="A35" s="2" t="s">
        <v>90</v>
      </c>
      <c r="B35" s="2" t="s">
        <v>16</v>
      </c>
      <c r="C35" s="2" t="s">
        <v>54</v>
      </c>
      <c r="D35" s="2" t="s">
        <v>16</v>
      </c>
      <c r="E35" s="2" t="s">
        <v>91</v>
      </c>
      <c r="F35" s="2">
        <v>3</v>
      </c>
      <c r="G35" s="2" t="s">
        <v>33</v>
      </c>
      <c r="H35" s="5">
        <v>90</v>
      </c>
      <c r="I35" t="b">
        <f t="shared" si="0"/>
        <v>1</v>
      </c>
      <c r="J35" t="b">
        <f t="shared" si="1"/>
        <v>1</v>
      </c>
    </row>
    <row r="36" spans="1:10" x14ac:dyDescent="0.25">
      <c r="A36" s="2" t="s">
        <v>92</v>
      </c>
      <c r="B36" s="2" t="s">
        <v>62</v>
      </c>
      <c r="C36" s="2" t="s">
        <v>98</v>
      </c>
      <c r="D36" s="2" t="s">
        <v>15</v>
      </c>
      <c r="E36" s="2" t="s">
        <v>97</v>
      </c>
      <c r="F36" s="2" t="s">
        <v>33</v>
      </c>
      <c r="G36" s="2">
        <v>1</v>
      </c>
      <c r="H36" s="5">
        <v>0</v>
      </c>
      <c r="I36" t="b">
        <f t="shared" si="0"/>
        <v>0</v>
      </c>
      <c r="J36" t="b">
        <f t="shared" si="1"/>
        <v>0</v>
      </c>
    </row>
    <row r="37" spans="1:10" x14ac:dyDescent="0.25">
      <c r="A37" s="2" t="s">
        <v>93</v>
      </c>
      <c r="B37" s="2" t="s">
        <v>49</v>
      </c>
      <c r="C37" s="2" t="s">
        <v>100</v>
      </c>
      <c r="D37" s="2" t="s">
        <v>16</v>
      </c>
      <c r="E37" s="2" t="s">
        <v>99</v>
      </c>
      <c r="F37" s="2" t="s">
        <v>33</v>
      </c>
      <c r="G37" s="2">
        <v>1</v>
      </c>
      <c r="H37" s="5">
        <v>0</v>
      </c>
      <c r="I37" t="b">
        <f t="shared" si="0"/>
        <v>1</v>
      </c>
      <c r="J37" t="b">
        <f t="shared" si="1"/>
        <v>0</v>
      </c>
    </row>
    <row r="38" spans="1:10" x14ac:dyDescent="0.25">
      <c r="A38" s="2" t="s">
        <v>94</v>
      </c>
      <c r="B38" s="2" t="s">
        <v>17</v>
      </c>
      <c r="C38" s="2" t="s">
        <v>101</v>
      </c>
      <c r="D38" s="2" t="s">
        <v>18</v>
      </c>
      <c r="E38" s="2" t="s">
        <v>51</v>
      </c>
      <c r="F38" s="2" t="s">
        <v>33</v>
      </c>
      <c r="G38" s="2" t="s">
        <v>33</v>
      </c>
      <c r="H38" s="5">
        <v>0</v>
      </c>
      <c r="I38" t="b">
        <f t="shared" si="0"/>
        <v>0</v>
      </c>
      <c r="J38" t="b">
        <f t="shared" si="1"/>
        <v>1</v>
      </c>
    </row>
    <row r="39" spans="1:10" x14ac:dyDescent="0.25">
      <c r="A39" s="2" t="s">
        <v>95</v>
      </c>
      <c r="B39" s="2" t="s">
        <v>26</v>
      </c>
      <c r="C39" s="2" t="s">
        <v>103</v>
      </c>
      <c r="D39" s="2" t="s">
        <v>26</v>
      </c>
      <c r="E39" s="2" t="s">
        <v>35</v>
      </c>
      <c r="F39" s="2" t="s">
        <v>33</v>
      </c>
      <c r="G39" s="2" t="s">
        <v>33</v>
      </c>
      <c r="H39" s="5">
        <v>38.71</v>
      </c>
      <c r="I39" t="b">
        <f t="shared" si="0"/>
        <v>0</v>
      </c>
      <c r="J39" t="b">
        <f t="shared" si="1"/>
        <v>0</v>
      </c>
    </row>
    <row r="40" spans="1:10" x14ac:dyDescent="0.25">
      <c r="A40" s="2" t="s">
        <v>96</v>
      </c>
      <c r="B40" s="2" t="s">
        <v>62</v>
      </c>
      <c r="C40" s="2" t="s">
        <v>102</v>
      </c>
      <c r="D40" s="2" t="s">
        <v>14</v>
      </c>
      <c r="E40" s="2" t="s">
        <v>23</v>
      </c>
      <c r="F40" s="2" t="s">
        <v>33</v>
      </c>
      <c r="G40" s="2" t="s">
        <v>33</v>
      </c>
      <c r="H40" s="5">
        <v>0</v>
      </c>
      <c r="I40" t="b">
        <f t="shared" si="0"/>
        <v>0</v>
      </c>
      <c r="J40" t="b">
        <f t="shared" si="1"/>
        <v>0</v>
      </c>
    </row>
    <row r="41" spans="1:10" x14ac:dyDescent="0.25">
      <c r="A41" s="2" t="s">
        <v>104</v>
      </c>
      <c r="B41" s="2" t="s">
        <v>17</v>
      </c>
      <c r="C41" s="2" t="s">
        <v>21</v>
      </c>
      <c r="D41" s="2" t="s">
        <v>17</v>
      </c>
      <c r="E41" s="2" t="s">
        <v>100</v>
      </c>
      <c r="F41" s="2">
        <v>4</v>
      </c>
      <c r="G41" s="2">
        <v>1</v>
      </c>
      <c r="H41" s="5">
        <v>33.75</v>
      </c>
      <c r="I41" t="b">
        <f t="shared" si="0"/>
        <v>0</v>
      </c>
      <c r="J41" t="b">
        <f t="shared" si="1"/>
        <v>1</v>
      </c>
    </row>
    <row r="42" spans="1:10" x14ac:dyDescent="0.25">
      <c r="A42" s="2" t="s">
        <v>105</v>
      </c>
      <c r="B42" s="2" t="s">
        <v>14</v>
      </c>
      <c r="C42" s="2" t="s">
        <v>23</v>
      </c>
      <c r="D42" s="2" t="s">
        <v>14</v>
      </c>
      <c r="E42" s="2" t="s">
        <v>106</v>
      </c>
      <c r="F42" s="2">
        <v>8</v>
      </c>
      <c r="G42" s="2">
        <v>1</v>
      </c>
      <c r="H42" s="5">
        <v>16.875</v>
      </c>
      <c r="I42" t="b">
        <f t="shared" si="0"/>
        <v>0</v>
      </c>
      <c r="J42" t="b">
        <f t="shared" si="1"/>
        <v>0</v>
      </c>
    </row>
    <row r="43" spans="1:10" x14ac:dyDescent="0.25">
      <c r="A43" s="2" t="s">
        <v>107</v>
      </c>
      <c r="B43" s="2" t="s">
        <v>62</v>
      </c>
      <c r="C43" s="2" t="s">
        <v>27</v>
      </c>
      <c r="D43" s="2" t="s">
        <v>62</v>
      </c>
      <c r="E43" s="2" t="s">
        <v>27</v>
      </c>
      <c r="F43" s="2">
        <v>4</v>
      </c>
      <c r="G43" s="2">
        <v>1</v>
      </c>
      <c r="H43" s="5">
        <v>168.75</v>
      </c>
      <c r="I43" t="b">
        <f t="shared" si="0"/>
        <v>0</v>
      </c>
      <c r="J43" t="b">
        <f t="shared" si="1"/>
        <v>0</v>
      </c>
    </row>
    <row r="44" spans="1:10" x14ac:dyDescent="0.25">
      <c r="F44" s="2"/>
      <c r="G44" s="2"/>
    </row>
    <row r="45" spans="1:10" x14ac:dyDescent="0.25">
      <c r="F45" s="2"/>
      <c r="G45" s="2"/>
    </row>
    <row r="46" spans="1:10" x14ac:dyDescent="0.25">
      <c r="F46" s="2"/>
      <c r="G46" s="2"/>
    </row>
    <row r="47" spans="1:10" x14ac:dyDescent="0.25">
      <c r="F47" s="2"/>
      <c r="G47" s="2"/>
    </row>
    <row r="48" spans="1:10" x14ac:dyDescent="0.25">
      <c r="F48" s="2"/>
      <c r="G48" s="2"/>
    </row>
    <row r="49" spans="6:9" x14ac:dyDescent="0.25">
      <c r="F49" s="2"/>
      <c r="G49" s="2"/>
    </row>
    <row r="50" spans="6:9" x14ac:dyDescent="0.25">
      <c r="F50" s="2"/>
      <c r="G50" s="2"/>
    </row>
    <row r="51" spans="6:9" x14ac:dyDescent="0.25">
      <c r="F51" s="2"/>
      <c r="G51" s="2"/>
    </row>
    <row r="52" spans="6:9" x14ac:dyDescent="0.25">
      <c r="F52" s="2"/>
      <c r="G52" s="2"/>
    </row>
    <row r="53" spans="6:9" x14ac:dyDescent="0.25">
      <c r="F53" s="2"/>
      <c r="G53" s="2"/>
    </row>
    <row r="54" spans="6:9" x14ac:dyDescent="0.25">
      <c r="F54" s="2"/>
      <c r="G54" s="2"/>
    </row>
    <row r="55" spans="6:9" x14ac:dyDescent="0.25">
      <c r="F55" s="2"/>
      <c r="G55" s="2"/>
    </row>
    <row r="56" spans="6:9" x14ac:dyDescent="0.25">
      <c r="F56" s="2"/>
      <c r="G56" s="2"/>
    </row>
    <row r="57" spans="6:9" x14ac:dyDescent="0.25">
      <c r="F57" s="2"/>
      <c r="G57" s="2"/>
    </row>
    <row r="58" spans="6:9" x14ac:dyDescent="0.25">
      <c r="F58" s="2"/>
      <c r="G58" s="2"/>
    </row>
    <row r="59" spans="6:9" x14ac:dyDescent="0.25">
      <c r="F59" s="2"/>
      <c r="G59" s="2"/>
    </row>
    <row r="60" spans="6:9" x14ac:dyDescent="0.25">
      <c r="F60" s="2"/>
      <c r="G60" s="2"/>
    </row>
    <row r="61" spans="6:9" x14ac:dyDescent="0.25">
      <c r="H61">
        <f>SUM(H2:H60)</f>
        <v>1725.9450000000002</v>
      </c>
      <c r="I61">
        <f>2200 - H61</f>
        <v>474.05499999999984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Visakan Jeyakumar</dc:creator>
  <cp:keywords>RBC Internal</cp:keywords>
  <cp:lastModifiedBy>Visakan Jeyakumar</cp:lastModifiedBy>
  <dcterms:created xsi:type="dcterms:W3CDTF">2019-03-28T20:24:38Z</dcterms:created>
  <dcterms:modified xsi:type="dcterms:W3CDTF">2019-04-24T21:08:48Z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7ed0517a-0915-4200-8404-c27c3394d495</vt:lpwstr>
  </property>
  <property fmtid="{D5CDD505-2E9C-101B-9397-08002B2CF9AE}" pid="3" name="Classification">
    <vt:lpwstr>TT_RBC_Internal</vt:lpwstr>
  </property>
</Properties>
</file>